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Samenvatting" sheetId="1" state="visible" r:id="rId3"/>
    <sheet name="1. Tegenstand" sheetId="2" state="visible" r:id="rId4"/>
    <sheet name="2. Na classificatie" sheetId="3" state="visible" r:id="rId5"/>
    <sheet name="3. Bezwaren per orde" sheetId="4" state="visible" r:id="rId6"/>
    <sheet name="4. Hefbom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<sst xmlns="http://schemas.openxmlformats.org/spreadsheetml/2006/main" count="93" uniqueCount="68">
  <si>
    <t xml:space="preserve">Nova Democratia — Pareto-samenvatting</t>
  </si>
  <si>
    <t xml:space="preserve">Gewogen oppositie- en hefboomanalyse, in 4 grafieken</t>
  </si>
  <si>
    <t xml:space="preserve">Tabblad</t>
  </si>
  <si>
    <t xml:space="preserve">Inhoud</t>
  </si>
  <si>
    <t xml:space="preserve">1. Tegenstand</t>
  </si>
  <si>
    <t xml:space="preserve">Top-12 tegenstandersgroepen op blokkademacht (I × M × U). Toont de 80/20-lijn — 12 groepen leveren ~80% van alle blokkade.</t>
  </si>
  <si>
    <t xml:space="preserve">2. Na classificatie</t>
  </si>
  <si>
    <t xml:space="preserve">Wat publieke orde-classificatie doet met de scores. Totale blokkademacht halveert, zonder één argument inhoudelijk te weerleggen.</t>
  </si>
  <si>
    <t xml:space="preserve">3. Bezwaren per orde</t>
  </si>
  <si>
    <t xml:space="preserve">20 reële bezwaren ingedeeld in de 4 ordes. 35% is 1e orde (neutraliseerbaar), 45% is 3e orde (verbetert het ontwerp).</t>
  </si>
  <si>
    <t xml:space="preserve">4. Hefbomen</t>
  </si>
  <si>
    <t xml:space="preserve">Welk transitie-instrument scoort hoogst. Media (648) en onderwijs (630) domineren; wetgeving en campagnes scoren &lt;130.</t>
  </si>
  <si>
    <t xml:space="preserve">Kernconclusies</t>
  </si>
  <si>
    <t xml:space="preserve">• EU is de grootste enkelvoudige tegenstander (900). Bonden zijn samen 2.240 — gevaarlijker omdat ze gespreid kunnen vechten.</t>
  </si>
  <si>
    <t xml:space="preserve">• Publieke orde-classificatie reduceert totale blokkademacht met ca. 50% zonder inhoudelijke weerlegging.</t>
  </si>
  <si>
    <t xml:space="preserve">• 45% van bezwaren is 3e orde — het systeem wordt béter door tegenstand, niet zwakker.</t>
  </si>
  <si>
    <t xml:space="preserve">• Media is hefboom #1 (648). Zonder mediakracht haalt geen enkele andere fase zijn doel.</t>
  </si>
  <si>
    <t xml:space="preserve">• 4e-orde bezwaren (Eerste Kamer, draagvlak) worden niet weerlegd maar als legitimiteitstoets ingebouwd.</t>
  </si>
  <si>
    <t xml:space="preserve">Pareto 1 — Blokkademacht per tegenstandersgroep</t>
  </si>
  <si>
    <t xml:space="preserve">Score = Intensiteit × Machtshefboom × Uithoudingsvermogen (1–1000)</t>
  </si>
  <si>
    <t xml:space="preserve">Tegenstandersgroep</t>
  </si>
  <si>
    <t xml:space="preserve">Score</t>
  </si>
  <si>
    <t xml:space="preserve">Cum. score</t>
  </si>
  <si>
    <t xml:space="preserve">Cum. %</t>
  </si>
  <si>
    <t xml:space="preserve">EU-recht &amp; verdragen</t>
  </si>
  <si>
    <t xml:space="preserve">Politieke partijen — agenda</t>
  </si>
  <si>
    <t xml:space="preserve">Onderwijsbonden</t>
  </si>
  <si>
    <t xml:space="preserve">Ambtenarenbonden</t>
  </si>
  <si>
    <t xml:space="preserve">Ambtelijke top — dashboard</t>
  </si>
  <si>
    <t xml:space="preserve">Zittende partijen — bestaansrecht</t>
  </si>
  <si>
    <t xml:space="preserve">Schoolbesturen</t>
  </si>
  <si>
    <t xml:space="preserve">NPO / journalisten</t>
  </si>
  <si>
    <t xml:space="preserve">Raad van State</t>
  </si>
  <si>
    <t xml:space="preserve">Juridische sector — sunset</t>
  </si>
  <si>
    <t xml:space="preserve">Eerste Kamer</t>
  </si>
  <si>
    <t xml:space="preserve">Lobbykoepels</t>
  </si>
  <si>
    <t xml:space="preserve">Pareto 2 — Effect van orde-classificatie op blokkademacht</t>
  </si>
  <si>
    <t xml:space="preserve">Vergelijking score vóór en na publieke classificatie volgens protocol</t>
  </si>
  <si>
    <t xml:space="preserve">Vóór classificatie</t>
  </si>
  <si>
    <t xml:space="preserve">Na classificatie</t>
  </si>
  <si>
    <t xml:space="preserve">Orde</t>
  </si>
  <si>
    <t xml:space="preserve">3e</t>
  </si>
  <si>
    <t xml:space="preserve">1e</t>
  </si>
  <si>
    <t xml:space="preserve">2e</t>
  </si>
  <si>
    <t xml:space="preserve">4e</t>
  </si>
  <si>
    <t xml:space="preserve">Totaal blokkademacht</t>
  </si>
  <si>
    <t xml:space="preserve">Reductie</t>
  </si>
  <si>
    <t xml:space="preserve">Pareto 3 — Verdeling 20 actuele bezwaren over de ordes</t>
  </si>
  <si>
    <t xml:space="preserve">Hoe de live-classificatie het oppositiearsenaal sorteert</t>
  </si>
  <si>
    <t xml:space="preserve">Aantal</t>
  </si>
  <si>
    <t xml:space="preserve">% van totaal</t>
  </si>
  <si>
    <t xml:space="preserve">Behandeling</t>
  </si>
  <si>
    <t xml:space="preserve">1e orde</t>
  </si>
  <si>
    <t xml:space="preserve">Erkennen, classificeren, niet weerleggen</t>
  </si>
  <si>
    <t xml:space="preserve">3e orde</t>
  </si>
  <si>
    <t xml:space="preserve">Inhoudelijk verwerken in ontwerp</t>
  </si>
  <si>
    <t xml:space="preserve">2e orde</t>
  </si>
  <si>
    <t xml:space="preserve">Onderhandelen, compenseren in pakket</t>
  </si>
  <si>
    <t xml:space="preserve">4e orde</t>
  </si>
  <si>
    <t xml:space="preserve">Legitimiteitstoets, niet onderhandelbaar</t>
  </si>
  <si>
    <t xml:space="preserve">Pareto 4 — Effectiviteit van transitiehefbomen</t>
  </si>
  <si>
    <t xml:space="preserve">Score = Bereik × Effect op denkstructuur × Duurzaamheid</t>
  </si>
  <si>
    <t xml:space="preserve">Hefboom</t>
  </si>
  <si>
    <t xml:space="preserve">Media (eigen, particulier)</t>
  </si>
  <si>
    <t xml:space="preserve">Onderwijscurriculum</t>
  </si>
  <si>
    <t xml:space="preserve">Burgerberaden</t>
  </si>
  <si>
    <t xml:space="preserve">Politieke campagne</t>
  </si>
  <si>
    <t xml:space="preserve">Wetgeving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</si>
</sst>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74D"/>
      <name val="Calibri"/>
      <family val="0"/>
      <charset val="1"/>
    </font>
    <font>
      <i val="true"/>
      <sz val="11"/>
      <color rgb="FF7A797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3"/>
      <color rgb="FF1B474D"/>
      <name val="Calibri"/>
      <family val="0"/>
      <charset val="1"/>
    </font>
    <font>
      <b val="true"/>
      <sz val="14"/>
      <color rgb="FF1B474D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libri"/>
      <family val="0"/>
      <charset val="1"/>
    </font>
    <font>
      <b val="true"/>
      <sz val="11"/>
      <color rgb="FFA84B2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474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A7974"/>
      <rgbColor rgb="FF969696"/>
      <rgbColor rgb="FF003366"/>
      <rgbColor rgb="FF339966"/>
      <rgbColor rgb="FF003300"/>
      <rgbColor rgb="FF333300"/>
      <rgbColor rgb="FFA84B2F"/>
      <rgbColor rgb="FFC0504D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Pareto — Blokkademacht per groep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'1. Tegenstand'!C5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Tegenstand'!$B$6:$B$17</c:f>
              <c:strCache>
                <c:ptCount val="12"/>
                <c:pt idx="0">
                  <c:v>EU-recht &amp; verdragen</c:v>
                </c:pt>
                <c:pt idx="1">
                  <c:v>Politieke partijen — agenda</c:v>
                </c:pt>
                <c:pt idx="2">
                  <c:v>Onderwijsbonden</c:v>
                </c:pt>
                <c:pt idx="3">
                  <c:v>Ambtenarenbonden</c:v>
                </c:pt>
                <c:pt idx="4">
                  <c:v>Ambtelijke top — dashboard</c:v>
                </c:pt>
                <c:pt idx="5">
                  <c:v>Zittende partijen — bestaansrecht</c:v>
                </c:pt>
                <c:pt idx="6">
                  <c:v>Schoolbesturen</c:v>
                </c:pt>
                <c:pt idx="7">
                  <c:v>NPO / journalisten</c:v>
                </c:pt>
                <c:pt idx="8">
                  <c:v>Raad van State</c:v>
                </c:pt>
                <c:pt idx="9">
                  <c:v>Juridische sector — sunset</c:v>
                </c:pt>
                <c:pt idx="10">
                  <c:v>Eerste Kamer</c:v>
                </c:pt>
                <c:pt idx="11">
                  <c:v>Lobbykoepels</c:v>
                </c:pt>
              </c:strCache>
            </c:strRef>
          </c:cat>
          <c:val>
            <c:numRef>
              <c:f>'1. Tegenstand'!$C$6:$C$17</c:f>
              <c:numCache>
                <c:formatCode>#,##0</c:formatCode>
                <c:ptCount val="12"/>
                <c:pt idx="0">
                  <c:v>900</c:v>
                </c:pt>
                <c:pt idx="1">
                  <c:v>810</c:v>
                </c:pt>
                <c:pt idx="2">
                  <c:v>810</c:v>
                </c:pt>
                <c:pt idx="3">
                  <c:v>800</c:v>
                </c:pt>
                <c:pt idx="4">
                  <c:v>729</c:v>
                </c:pt>
                <c:pt idx="5">
                  <c:v>648</c:v>
                </c:pt>
                <c:pt idx="6">
                  <c:v>648</c:v>
                </c:pt>
                <c:pt idx="7">
                  <c:v>630</c:v>
                </c:pt>
                <c:pt idx="8">
                  <c:v>630</c:v>
                </c:pt>
                <c:pt idx="9">
                  <c:v>576</c:v>
                </c:pt>
                <c:pt idx="10">
                  <c:v>540</c:v>
                </c:pt>
                <c:pt idx="11">
                  <c:v>504</c:v>
                </c:pt>
              </c:numCache>
            </c:numRef>
          </c:val>
        </c:ser>
        <c:gapWidth val="150"/>
        <c:overlap val="0"/>
        <c:axId val="42706138"/>
        <c:axId val="81182560"/>
      </c:barChart>
      <c:lineChart>
        <c:grouping val="standard"/>
        <c:varyColors val="0"/>
        <c:ser>
          <c:idx val="1"/>
          <c:order val="1"/>
          <c:tx>
            <c:strRef>
              <c:f>'1. Tegenstand'!E5</c:f>
              <c:strCache>
                <c:ptCount val="1"/>
                <c:pt idx="0">
                  <c:v>Cum.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Tegenstand'!$B$6:$B$17</c:f>
              <c:strCache>
                <c:ptCount val="12"/>
                <c:pt idx="0">
                  <c:v>EU-recht &amp; verdragen</c:v>
                </c:pt>
                <c:pt idx="1">
                  <c:v>Politieke partijen — agenda</c:v>
                </c:pt>
                <c:pt idx="2">
                  <c:v>Onderwijsbonden</c:v>
                </c:pt>
                <c:pt idx="3">
                  <c:v>Ambtenarenbonden</c:v>
                </c:pt>
                <c:pt idx="4">
                  <c:v>Ambtelijke top — dashboard</c:v>
                </c:pt>
                <c:pt idx="5">
                  <c:v>Zittende partijen — bestaansrecht</c:v>
                </c:pt>
                <c:pt idx="6">
                  <c:v>Schoolbesturen</c:v>
                </c:pt>
                <c:pt idx="7">
                  <c:v>NPO / journalisten</c:v>
                </c:pt>
                <c:pt idx="8">
                  <c:v>Raad van State</c:v>
                </c:pt>
                <c:pt idx="9">
                  <c:v>Juridische sector — sunset</c:v>
                </c:pt>
                <c:pt idx="10">
                  <c:v>Eerste Kamer</c:v>
                </c:pt>
                <c:pt idx="11">
                  <c:v>Lobbykoepels</c:v>
                </c:pt>
              </c:strCache>
            </c:strRef>
          </c:cat>
          <c:val>
            <c:numRef>
              <c:f>'1. Tegenstand'!$E$6:$E$17</c:f>
              <c:numCache>
                <c:formatCode>0%</c:formatCode>
                <c:ptCount val="12"/>
                <c:pt idx="0">
                  <c:v>0.109422492401216</c:v>
                </c:pt>
                <c:pt idx="1">
                  <c:v>0.20790273556231</c:v>
                </c:pt>
                <c:pt idx="2">
                  <c:v>0.306382978723404</c:v>
                </c:pt>
                <c:pt idx="3">
                  <c:v>0.403647416413374</c:v>
                </c:pt>
                <c:pt idx="4">
                  <c:v>0.492279635258359</c:v>
                </c:pt>
                <c:pt idx="5">
                  <c:v>0.571063829787234</c:v>
                </c:pt>
                <c:pt idx="6">
                  <c:v>0.649848024316109</c:v>
                </c:pt>
                <c:pt idx="7">
                  <c:v>0.726443768996961</c:v>
                </c:pt>
                <c:pt idx="8">
                  <c:v>0.803039513677812</c:v>
                </c:pt>
                <c:pt idx="9">
                  <c:v>0.87306990881459</c:v>
                </c:pt>
                <c:pt idx="10">
                  <c:v>0.938723404255319</c:v>
                </c:pt>
                <c:pt idx="11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015535"/>
        <c:axId val="51063920"/>
      </c:lineChart>
      <c:catAx>
        <c:axId val="427061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182560"/>
        <c:crosses val="autoZero"/>
        <c:auto val="1"/>
        <c:lblAlgn val="ctr"/>
        <c:lblOffset val="100"/>
        <c:noMultiLvlLbl val="0"/>
      </c:catAx>
      <c:valAx>
        <c:axId val="811825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 (I × M × U)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706138"/>
        <c:crosses val="autoZero"/>
        <c:crossBetween val="between"/>
      </c:valAx>
      <c:catAx>
        <c:axId val="5901553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063920"/>
        <c:crosses val="autoZero"/>
        <c:auto val="1"/>
        <c:lblAlgn val="ctr"/>
        <c:lblOffset val="100"/>
        <c:noMultiLvlLbl val="0"/>
      </c:catAx>
      <c:valAx>
        <c:axId val="5106392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Cumulatief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015535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Effect van publieke orde-classificatie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Na classificatie'!C5</c:f>
              <c:strCache>
                <c:ptCount val="1"/>
                <c:pt idx="0">
                  <c:v>Vóór classificatie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Na classificatie'!$B$6:$B$17</c:f>
              <c:strCache>
                <c:ptCount val="12"/>
                <c:pt idx="0">
                  <c:v>EU-recht &amp; verdragen</c:v>
                </c:pt>
                <c:pt idx="1">
                  <c:v>Politieke partijen — agenda</c:v>
                </c:pt>
                <c:pt idx="2">
                  <c:v>Onderwijsbonden</c:v>
                </c:pt>
                <c:pt idx="3">
                  <c:v>Ambtenarenbonden</c:v>
                </c:pt>
                <c:pt idx="4">
                  <c:v>Ambtelijke top — dashboard</c:v>
                </c:pt>
                <c:pt idx="5">
                  <c:v>Zittende partijen — bestaansrecht</c:v>
                </c:pt>
                <c:pt idx="6">
                  <c:v>Schoolbesturen</c:v>
                </c:pt>
                <c:pt idx="7">
                  <c:v>NPO / journalisten</c:v>
                </c:pt>
                <c:pt idx="8">
                  <c:v>Raad van State</c:v>
                </c:pt>
                <c:pt idx="9">
                  <c:v>Juridische sector — sunset</c:v>
                </c:pt>
                <c:pt idx="10">
                  <c:v>Eerste Kamer</c:v>
                </c:pt>
                <c:pt idx="11">
                  <c:v>Lobbykoepels</c:v>
                </c:pt>
              </c:strCache>
            </c:strRef>
          </c:cat>
          <c:val>
            <c:numRef>
              <c:f>'2. Na classificatie'!$C$6:$C$17</c:f>
              <c:numCache>
                <c:formatCode>#,##0</c:formatCode>
                <c:ptCount val="12"/>
                <c:pt idx="0">
                  <c:v>900</c:v>
                </c:pt>
                <c:pt idx="1">
                  <c:v>810</c:v>
                </c:pt>
                <c:pt idx="2">
                  <c:v>810</c:v>
                </c:pt>
                <c:pt idx="3">
                  <c:v>800</c:v>
                </c:pt>
                <c:pt idx="4">
                  <c:v>729</c:v>
                </c:pt>
                <c:pt idx="5">
                  <c:v>648</c:v>
                </c:pt>
                <c:pt idx="6">
                  <c:v>648</c:v>
                </c:pt>
                <c:pt idx="7">
                  <c:v>630</c:v>
                </c:pt>
                <c:pt idx="8">
                  <c:v>630</c:v>
                </c:pt>
                <c:pt idx="9">
                  <c:v>576</c:v>
                </c:pt>
                <c:pt idx="10">
                  <c:v>540</c:v>
                </c:pt>
                <c:pt idx="11">
                  <c:v>504</c:v>
                </c:pt>
              </c:numCache>
            </c:numRef>
          </c:val>
        </c:ser>
        <c:ser>
          <c:idx val="1"/>
          <c:order val="1"/>
          <c:tx>
            <c:strRef>
              <c:f>'2. Na classificatie'!D5</c:f>
              <c:strCache>
                <c:ptCount val="1"/>
                <c:pt idx="0">
                  <c:v>Na classificatie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Na classificatie'!$B$6:$B$17</c:f>
              <c:strCache>
                <c:ptCount val="12"/>
                <c:pt idx="0">
                  <c:v>EU-recht &amp; verdragen</c:v>
                </c:pt>
                <c:pt idx="1">
                  <c:v>Politieke partijen — agenda</c:v>
                </c:pt>
                <c:pt idx="2">
                  <c:v>Onderwijsbonden</c:v>
                </c:pt>
                <c:pt idx="3">
                  <c:v>Ambtenarenbonden</c:v>
                </c:pt>
                <c:pt idx="4">
                  <c:v>Ambtelijke top — dashboard</c:v>
                </c:pt>
                <c:pt idx="5">
                  <c:v>Zittende partijen — bestaansrecht</c:v>
                </c:pt>
                <c:pt idx="6">
                  <c:v>Schoolbesturen</c:v>
                </c:pt>
                <c:pt idx="7">
                  <c:v>NPO / journalisten</c:v>
                </c:pt>
                <c:pt idx="8">
                  <c:v>Raad van State</c:v>
                </c:pt>
                <c:pt idx="9">
                  <c:v>Juridische sector — sunset</c:v>
                </c:pt>
                <c:pt idx="10">
                  <c:v>Eerste Kamer</c:v>
                </c:pt>
                <c:pt idx="11">
                  <c:v>Lobbykoepels</c:v>
                </c:pt>
              </c:strCache>
            </c:strRef>
          </c:cat>
          <c:val>
            <c:numRef>
              <c:f>'2. Na classificatie'!$D$6:$D$17</c:f>
              <c:numCache>
                <c:formatCode>#,##0</c:formatCode>
                <c:ptCount val="12"/>
                <c:pt idx="0">
                  <c:v>450</c:v>
                </c:pt>
                <c:pt idx="1">
                  <c:v>243</c:v>
                </c:pt>
                <c:pt idx="2">
                  <c:v>567</c:v>
                </c:pt>
                <c:pt idx="3">
                  <c:v>560</c:v>
                </c:pt>
                <c:pt idx="4">
                  <c:v>219</c:v>
                </c:pt>
                <c:pt idx="5">
                  <c:v>194</c:v>
                </c:pt>
                <c:pt idx="6">
                  <c:v>194</c:v>
                </c:pt>
                <c:pt idx="7">
                  <c:v>189</c:v>
                </c:pt>
                <c:pt idx="8">
                  <c:v>315</c:v>
                </c:pt>
                <c:pt idx="9">
                  <c:v>288</c:v>
                </c:pt>
                <c:pt idx="10">
                  <c:v>540</c:v>
                </c:pt>
                <c:pt idx="11">
                  <c:v>151</c:v>
                </c:pt>
              </c:numCache>
            </c:numRef>
          </c:val>
        </c:ser>
        <c:gapWidth val="150"/>
        <c:overlap val="0"/>
        <c:axId val="32530188"/>
        <c:axId val="4715424"/>
      </c:barChart>
      <c:catAx>
        <c:axId val="325301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15424"/>
        <c:crosses val="autoZero"/>
        <c:auto val="1"/>
        <c:lblAlgn val="ctr"/>
        <c:lblOffset val="100"/>
        <c:noMultiLvlLbl val="0"/>
      </c:catAx>
      <c:valAx>
        <c:axId val="4715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5301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Verdeling 20 bezwaren over ordes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'3. Bezwaren per orde'!C5</c:f>
              <c:strCache>
                <c:ptCount val="1"/>
                <c:pt idx="0">
                  <c:v>Aantal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Bezwaren per orde'!$B$6:$B$9</c:f>
              <c:strCache>
                <c:ptCount val="4"/>
                <c:pt idx="0">
                  <c:v>1e orde</c:v>
                </c:pt>
                <c:pt idx="1">
                  <c:v>3e orde</c:v>
                </c:pt>
                <c:pt idx="2">
                  <c:v>2e orde</c:v>
                </c:pt>
                <c:pt idx="3">
                  <c:v>4e orde</c:v>
                </c:pt>
              </c:strCache>
            </c:strRef>
          </c:cat>
          <c:val>
            <c:numRef>
              <c:f>'3. Bezwaren per orde'!$C$6:$C$9</c:f>
              <c:numCache>
                <c:formatCode>General</c:formatCode>
                <c:ptCount val="4"/>
                <c:pt idx="0">
                  <c:v>7</c:v>
                </c:pt>
                <c:pt idx="1">
                  <c:v>9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64789765"/>
        <c:axId val="81339654"/>
      </c:barChart>
      <c:catAx>
        <c:axId val="6478976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Aantal bezwaren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339654"/>
        <c:crosses val="autoZero"/>
        <c:auto val="1"/>
        <c:lblAlgn val="ctr"/>
        <c:lblOffset val="100"/>
        <c:noMultiLvlLbl val="0"/>
      </c:catAx>
      <c:valAx>
        <c:axId val="81339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7897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Pareto — Hefbomen voor transitie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'4. Hefbomen'!C5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Hefbomen'!$B$6:$B$10</c:f>
              <c:strCache>
                <c:ptCount val="5"/>
                <c:pt idx="0">
                  <c:v>Media (eigen, particulier)</c:v>
                </c:pt>
                <c:pt idx="1">
                  <c:v>Onderwijscurriculum</c:v>
                </c:pt>
                <c:pt idx="2">
                  <c:v>Burgerberaden</c:v>
                </c:pt>
                <c:pt idx="3">
                  <c:v>Politieke campagne</c:v>
                </c:pt>
                <c:pt idx="4">
                  <c:v>Wetgeving</c:v>
                </c:pt>
              </c:strCache>
            </c:strRef>
          </c:cat>
          <c:val>
            <c:numRef>
              <c:f>'4. Hefbomen'!$C$6:$C$10</c:f>
              <c:numCache>
                <c:formatCode>#,##0</c:formatCode>
                <c:ptCount val="5"/>
                <c:pt idx="0">
                  <c:v>648</c:v>
                </c:pt>
                <c:pt idx="1">
                  <c:v>630</c:v>
                </c:pt>
                <c:pt idx="2">
                  <c:v>210</c:v>
                </c:pt>
                <c:pt idx="3">
                  <c:v>128</c:v>
                </c:pt>
                <c:pt idx="4">
                  <c:v>126</c:v>
                </c:pt>
              </c:numCache>
            </c:numRef>
          </c:val>
        </c:ser>
        <c:gapWidth val="150"/>
        <c:overlap val="0"/>
        <c:axId val="94431514"/>
        <c:axId val="52043501"/>
      </c:barChart>
      <c:lineChart>
        <c:grouping val="standard"/>
        <c:varyColors val="0"/>
        <c:ser>
          <c:idx val="1"/>
          <c:order val="1"/>
          <c:tx>
            <c:strRef>
              <c:f>'4. Hefbomen'!E5</c:f>
              <c:strCache>
                <c:ptCount val="1"/>
                <c:pt idx="0">
                  <c:v>Cum.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Hefbomen'!$B$6:$B$10</c:f>
              <c:strCache>
                <c:ptCount val="5"/>
                <c:pt idx="0">
                  <c:v>Media (eigen, particulier)</c:v>
                </c:pt>
                <c:pt idx="1">
                  <c:v>Onderwijscurriculum</c:v>
                </c:pt>
                <c:pt idx="2">
                  <c:v>Burgerberaden</c:v>
                </c:pt>
                <c:pt idx="3">
                  <c:v>Politieke campagne</c:v>
                </c:pt>
                <c:pt idx="4">
                  <c:v>Wetgeving</c:v>
                </c:pt>
              </c:strCache>
            </c:strRef>
          </c:cat>
          <c:val>
            <c:numRef>
              <c:f>'4. Hefbomen'!$E$6:$E$10</c:f>
              <c:numCache>
                <c:formatCode>0%</c:formatCode>
                <c:ptCount val="5"/>
                <c:pt idx="0">
                  <c:v>0.371986222732491</c:v>
                </c:pt>
                <c:pt idx="1">
                  <c:v>0.733639494833525</c:v>
                </c:pt>
                <c:pt idx="2">
                  <c:v>0.854190585533869</c:v>
                </c:pt>
                <c:pt idx="3">
                  <c:v>0.927669345579793</c:v>
                </c:pt>
                <c:pt idx="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068477"/>
        <c:axId val="14537970"/>
      </c:lineChart>
      <c:catAx>
        <c:axId val="944315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043501"/>
        <c:crosses val="autoZero"/>
        <c:auto val="1"/>
        <c:lblAlgn val="ctr"/>
        <c:lblOffset val="100"/>
        <c:noMultiLvlLbl val="0"/>
      </c:catAx>
      <c:valAx>
        <c:axId val="520435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431514"/>
        <c:crosses val="autoZero"/>
        <c:crossBetween val="between"/>
      </c:valAx>
      <c:catAx>
        <c:axId val="1306847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537970"/>
        <c:crosses val="autoZero"/>
        <c:auto val="1"/>
        <c:lblAlgn val="ctr"/>
        <c:lblOffset val="100"/>
        <c:noMultiLvlLbl val="0"/>
      </c:catAx>
      <c:valAx>
        <c:axId val="1453797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Cumulatief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068477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18</xdr:col>
      <xdr:colOff>581400</xdr:colOff>
      <xdr:row>26</xdr:row>
      <xdr:rowOff>128880</xdr:rowOff>
    </xdr:to>
    <xdr:graphicFrame>
      <xdr:nvGraphicFramePr>
        <xdr:cNvPr id="1" name="Chart 1"/>
        <xdr:cNvGraphicFramePr/>
      </xdr:nvGraphicFramePr>
      <xdr:xfrm>
        <a:off x="6461640" y="7920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18</xdr:col>
      <xdr:colOff>581760</xdr:colOff>
      <xdr:row>26</xdr:row>
      <xdr:rowOff>128880</xdr:rowOff>
    </xdr:to>
    <xdr:graphicFrame>
      <xdr:nvGraphicFramePr>
        <xdr:cNvPr id="2" name="Chart 1"/>
        <xdr:cNvGraphicFramePr/>
      </xdr:nvGraphicFramePr>
      <xdr:xfrm>
        <a:off x="6743880" y="7920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16</xdr:col>
      <xdr:colOff>364680</xdr:colOff>
      <xdr:row>21</xdr:row>
      <xdr:rowOff>1440</xdr:rowOff>
    </xdr:to>
    <xdr:graphicFrame>
      <xdr:nvGraphicFramePr>
        <xdr:cNvPr id="3" name="Chart 1"/>
        <xdr:cNvGraphicFramePr/>
      </xdr:nvGraphicFramePr>
      <xdr:xfrm>
        <a:off x="6602760" y="792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17</xdr:col>
      <xdr:colOff>473040</xdr:colOff>
      <xdr:row>26</xdr:row>
      <xdr:rowOff>128880</xdr:rowOff>
    </xdr:to>
    <xdr:graphicFrame>
      <xdr:nvGraphicFramePr>
        <xdr:cNvPr id="4" name="Chart 1"/>
        <xdr:cNvGraphicFramePr/>
      </xdr:nvGraphicFramePr>
      <xdr:xfrm>
        <a:off x="5474880" y="7920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42" hidden="false" customHeight="true" outlineLevel="0" collapsed="false">
      <c r="B6" s="4" t="s">
        <v>4</v>
      </c>
      <c r="C6" s="5" t="s">
        <v>5</v>
      </c>
    </row>
    <row r="7" customFormat="false" ht="42" hidden="false" customHeight="true" outlineLevel="0" collapsed="false">
      <c r="B7" s="4" t="s">
        <v>6</v>
      </c>
      <c r="C7" s="5" t="s">
        <v>7</v>
      </c>
    </row>
    <row r="8" customFormat="false" ht="42" hidden="false" customHeight="true" outlineLevel="0" collapsed="false">
      <c r="B8" s="4" t="s">
        <v>8</v>
      </c>
      <c r="C8" s="5" t="s">
        <v>9</v>
      </c>
    </row>
    <row r="9" customFormat="false" ht="42" hidden="false" customHeight="true" outlineLevel="0" collapsed="false">
      <c r="B9" s="4" t="s">
        <v>10</v>
      </c>
      <c r="C9" s="5" t="s">
        <v>11</v>
      </c>
    </row>
    <row r="12" customFormat="false" ht="16.15" hidden="false" customHeight="false" outlineLevel="0" collapsed="false">
      <c r="B12" s="6" t="s">
        <v>12</v>
      </c>
    </row>
    <row r="13" customFormat="false" ht="21.75" hidden="false" customHeight="true" outlineLevel="0" collapsed="false">
      <c r="B13" s="7" t="s">
        <v>13</v>
      </c>
      <c r="C13" s="7"/>
    </row>
    <row r="14" customFormat="false" ht="21.75" hidden="false" customHeight="true" outlineLevel="0" collapsed="false">
      <c r="B14" s="7" t="s">
        <v>14</v>
      </c>
      <c r="C14" s="7"/>
    </row>
    <row r="15" customFormat="false" ht="21.75" hidden="false" customHeight="true" outlineLevel="0" collapsed="false">
      <c r="B15" s="7" t="s">
        <v>15</v>
      </c>
      <c r="C15" s="7"/>
    </row>
    <row r="16" customFormat="false" ht="21.75" hidden="false" customHeight="true" outlineLevel="0" collapsed="false">
      <c r="B16" s="7" t="s">
        <v>16</v>
      </c>
      <c r="C16" s="7"/>
    </row>
    <row r="17" customFormat="false" ht="21.75" hidden="false" customHeight="true" outlineLevel="0" collapsed="false">
      <c r="B17" s="7" t="s">
        <v>17</v>
      </c>
      <c r="C17" s="7"/>
    </row>
  </sheetData>
  <mergeCells count="5">
    <mergeCell ref="B13:C13"/>
    <mergeCell ref="B14:C14"/>
    <mergeCell ref="B15:C15"/>
    <mergeCell ref="B16:C16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5" min="4" style="0" width="14"/>
  </cols>
  <sheetData>
    <row r="2" customFormat="false" ht="17.35" hidden="false" customHeight="false" outlineLevel="0" collapsed="false">
      <c r="B2" s="8" t="s">
        <v>18</v>
      </c>
    </row>
    <row r="3" customFormat="false" ht="15" hidden="false" customHeight="false" outlineLevel="0" collapsed="false">
      <c r="B3" s="9" t="s">
        <v>19</v>
      </c>
    </row>
    <row r="5" customFormat="false" ht="15" hidden="false" customHeight="false" outlineLevel="0" collapsed="false">
      <c r="B5" s="10" t="s">
        <v>20</v>
      </c>
      <c r="C5" s="10" t="s">
        <v>21</v>
      </c>
      <c r="D5" s="10" t="s">
        <v>22</v>
      </c>
      <c r="E5" s="10" t="s">
        <v>23</v>
      </c>
    </row>
    <row r="6" customFormat="false" ht="15" hidden="false" customHeight="false" outlineLevel="0" collapsed="false">
      <c r="B6" s="0" t="s">
        <v>24</v>
      </c>
      <c r="C6" s="11" t="n">
        <v>900</v>
      </c>
      <c r="D6" s="11" t="n">
        <f aca="false">C6</f>
        <v>900</v>
      </c>
      <c r="E6" s="12" t="n">
        <f aca="false">D6/SUM($C$6:$C$17)</f>
        <v>0.109422492401216</v>
      </c>
    </row>
    <row r="7" customFormat="false" ht="15" hidden="false" customHeight="false" outlineLevel="0" collapsed="false">
      <c r="B7" s="0" t="s">
        <v>25</v>
      </c>
      <c r="C7" s="11" t="n">
        <v>810</v>
      </c>
      <c r="D7" s="11" t="n">
        <f aca="false">D6+C7</f>
        <v>1710</v>
      </c>
      <c r="E7" s="12" t="n">
        <f aca="false">D7/SUM($C$6:$C$17)</f>
        <v>0.20790273556231</v>
      </c>
    </row>
    <row r="8" customFormat="false" ht="15" hidden="false" customHeight="false" outlineLevel="0" collapsed="false">
      <c r="B8" s="0" t="s">
        <v>26</v>
      </c>
      <c r="C8" s="11" t="n">
        <v>810</v>
      </c>
      <c r="D8" s="11" t="n">
        <f aca="false">D7+C8</f>
        <v>2520</v>
      </c>
      <c r="E8" s="12" t="n">
        <f aca="false">D8/SUM($C$6:$C$17)</f>
        <v>0.306382978723404</v>
      </c>
    </row>
    <row r="9" customFormat="false" ht="15" hidden="false" customHeight="false" outlineLevel="0" collapsed="false">
      <c r="B9" s="0" t="s">
        <v>27</v>
      </c>
      <c r="C9" s="11" t="n">
        <v>800</v>
      </c>
      <c r="D9" s="11" t="n">
        <f aca="false">D8+C9</f>
        <v>3320</v>
      </c>
      <c r="E9" s="12" t="n">
        <f aca="false">D9/SUM($C$6:$C$17)</f>
        <v>0.403647416413374</v>
      </c>
    </row>
    <row r="10" customFormat="false" ht="15" hidden="false" customHeight="false" outlineLevel="0" collapsed="false">
      <c r="B10" s="0" t="s">
        <v>28</v>
      </c>
      <c r="C10" s="11" t="n">
        <v>729</v>
      </c>
      <c r="D10" s="11" t="n">
        <f aca="false">D9+C10</f>
        <v>4049</v>
      </c>
      <c r="E10" s="12" t="n">
        <f aca="false">D10/SUM($C$6:$C$17)</f>
        <v>0.492279635258359</v>
      </c>
    </row>
    <row r="11" customFormat="false" ht="15" hidden="false" customHeight="false" outlineLevel="0" collapsed="false">
      <c r="B11" s="0" t="s">
        <v>29</v>
      </c>
      <c r="C11" s="11" t="n">
        <v>648</v>
      </c>
      <c r="D11" s="11" t="n">
        <f aca="false">D10+C11</f>
        <v>4697</v>
      </c>
      <c r="E11" s="12" t="n">
        <f aca="false">D11/SUM($C$6:$C$17)</f>
        <v>0.571063829787234</v>
      </c>
    </row>
    <row r="12" customFormat="false" ht="15" hidden="false" customHeight="false" outlineLevel="0" collapsed="false">
      <c r="B12" s="0" t="s">
        <v>30</v>
      </c>
      <c r="C12" s="11" t="n">
        <v>648</v>
      </c>
      <c r="D12" s="11" t="n">
        <f aca="false">D11+C12</f>
        <v>5345</v>
      </c>
      <c r="E12" s="12" t="n">
        <f aca="false">D12/SUM($C$6:$C$17)</f>
        <v>0.649848024316109</v>
      </c>
    </row>
    <row r="13" customFormat="false" ht="15" hidden="false" customHeight="false" outlineLevel="0" collapsed="false">
      <c r="B13" s="0" t="s">
        <v>31</v>
      </c>
      <c r="C13" s="11" t="n">
        <v>630</v>
      </c>
      <c r="D13" s="11" t="n">
        <f aca="false">D12+C13</f>
        <v>5975</v>
      </c>
      <c r="E13" s="12" t="n">
        <f aca="false">D13/SUM($C$6:$C$17)</f>
        <v>0.726443768996961</v>
      </c>
    </row>
    <row r="14" customFormat="false" ht="15" hidden="false" customHeight="false" outlineLevel="0" collapsed="false">
      <c r="B14" s="0" t="s">
        <v>32</v>
      </c>
      <c r="C14" s="11" t="n">
        <v>630</v>
      </c>
      <c r="D14" s="11" t="n">
        <f aca="false">D13+C14</f>
        <v>6605</v>
      </c>
      <c r="E14" s="12" t="n">
        <f aca="false">D14/SUM($C$6:$C$17)</f>
        <v>0.803039513677812</v>
      </c>
    </row>
    <row r="15" customFormat="false" ht="15" hidden="false" customHeight="false" outlineLevel="0" collapsed="false">
      <c r="B15" s="0" t="s">
        <v>33</v>
      </c>
      <c r="C15" s="11" t="n">
        <v>576</v>
      </c>
      <c r="D15" s="11" t="n">
        <f aca="false">D14+C15</f>
        <v>7181</v>
      </c>
      <c r="E15" s="12" t="n">
        <f aca="false">D15/SUM($C$6:$C$17)</f>
        <v>0.87306990881459</v>
      </c>
    </row>
    <row r="16" customFormat="false" ht="15" hidden="false" customHeight="false" outlineLevel="0" collapsed="false">
      <c r="B16" s="0" t="s">
        <v>34</v>
      </c>
      <c r="C16" s="11" t="n">
        <v>540</v>
      </c>
      <c r="D16" s="11" t="n">
        <f aca="false">D15+C16</f>
        <v>7721</v>
      </c>
      <c r="E16" s="12" t="n">
        <f aca="false">D16/SUM($C$6:$C$17)</f>
        <v>0.938723404255319</v>
      </c>
    </row>
    <row r="17" customFormat="false" ht="15" hidden="false" customHeight="false" outlineLevel="0" collapsed="false">
      <c r="B17" s="0" t="s">
        <v>35</v>
      </c>
      <c r="C17" s="11" t="n">
        <v>504</v>
      </c>
      <c r="D17" s="11" t="n">
        <f aca="false">D16+C17</f>
        <v>8225</v>
      </c>
      <c r="E17" s="12" t="n">
        <f aca="false">D17/SUM($C$6:$C$17)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0"/>
  </cols>
  <sheetData>
    <row r="2" customFormat="false" ht="17.35" hidden="false" customHeight="false" outlineLevel="0" collapsed="false">
      <c r="B2" s="8" t="s">
        <v>36</v>
      </c>
    </row>
    <row r="3" customFormat="false" ht="15" hidden="false" customHeight="false" outlineLevel="0" collapsed="false">
      <c r="B3" s="9" t="s">
        <v>37</v>
      </c>
    </row>
    <row r="5" customFormat="false" ht="15" hidden="false" customHeight="false" outlineLevel="0" collapsed="false">
      <c r="B5" s="10" t="s">
        <v>20</v>
      </c>
      <c r="C5" s="10" t="s">
        <v>38</v>
      </c>
      <c r="D5" s="10" t="s">
        <v>39</v>
      </c>
      <c r="E5" s="10" t="s">
        <v>40</v>
      </c>
    </row>
    <row r="6" customFormat="false" ht="15" hidden="false" customHeight="false" outlineLevel="0" collapsed="false">
      <c r="B6" s="0" t="s">
        <v>24</v>
      </c>
      <c r="C6" s="11" t="n">
        <v>900</v>
      </c>
      <c r="D6" s="11" t="n">
        <v>450</v>
      </c>
      <c r="E6" s="13" t="s">
        <v>41</v>
      </c>
    </row>
    <row r="7" customFormat="false" ht="15" hidden="false" customHeight="false" outlineLevel="0" collapsed="false">
      <c r="B7" s="0" t="s">
        <v>25</v>
      </c>
      <c r="C7" s="11" t="n">
        <v>810</v>
      </c>
      <c r="D7" s="11" t="n">
        <v>243</v>
      </c>
      <c r="E7" s="13" t="s">
        <v>42</v>
      </c>
    </row>
    <row r="8" customFormat="false" ht="15" hidden="false" customHeight="false" outlineLevel="0" collapsed="false">
      <c r="B8" s="0" t="s">
        <v>26</v>
      </c>
      <c r="C8" s="11" t="n">
        <v>810</v>
      </c>
      <c r="D8" s="11" t="n">
        <v>567</v>
      </c>
      <c r="E8" s="13" t="s">
        <v>43</v>
      </c>
    </row>
    <row r="9" customFormat="false" ht="15" hidden="false" customHeight="false" outlineLevel="0" collapsed="false">
      <c r="B9" s="0" t="s">
        <v>27</v>
      </c>
      <c r="C9" s="11" t="n">
        <v>800</v>
      </c>
      <c r="D9" s="11" t="n">
        <v>560</v>
      </c>
      <c r="E9" s="13" t="s">
        <v>43</v>
      </c>
    </row>
    <row r="10" customFormat="false" ht="15" hidden="false" customHeight="false" outlineLevel="0" collapsed="false">
      <c r="B10" s="0" t="s">
        <v>28</v>
      </c>
      <c r="C10" s="11" t="n">
        <v>729</v>
      </c>
      <c r="D10" s="11" t="n">
        <v>219</v>
      </c>
      <c r="E10" s="13" t="s">
        <v>42</v>
      </c>
    </row>
    <row r="11" customFormat="false" ht="15" hidden="false" customHeight="false" outlineLevel="0" collapsed="false">
      <c r="B11" s="0" t="s">
        <v>29</v>
      </c>
      <c r="C11" s="11" t="n">
        <v>648</v>
      </c>
      <c r="D11" s="11" t="n">
        <v>194</v>
      </c>
      <c r="E11" s="13" t="s">
        <v>42</v>
      </c>
    </row>
    <row r="12" customFormat="false" ht="15" hidden="false" customHeight="false" outlineLevel="0" collapsed="false">
      <c r="B12" s="0" t="s">
        <v>30</v>
      </c>
      <c r="C12" s="11" t="n">
        <v>648</v>
      </c>
      <c r="D12" s="11" t="n">
        <v>194</v>
      </c>
      <c r="E12" s="13" t="s">
        <v>42</v>
      </c>
    </row>
    <row r="13" customFormat="false" ht="15" hidden="false" customHeight="false" outlineLevel="0" collapsed="false">
      <c r="B13" s="0" t="s">
        <v>31</v>
      </c>
      <c r="C13" s="11" t="n">
        <v>630</v>
      </c>
      <c r="D13" s="11" t="n">
        <v>189</v>
      </c>
      <c r="E13" s="13" t="s">
        <v>42</v>
      </c>
    </row>
    <row r="14" customFormat="false" ht="15" hidden="false" customHeight="false" outlineLevel="0" collapsed="false">
      <c r="B14" s="0" t="s">
        <v>32</v>
      </c>
      <c r="C14" s="11" t="n">
        <v>630</v>
      </c>
      <c r="D14" s="11" t="n">
        <v>315</v>
      </c>
      <c r="E14" s="13" t="s">
        <v>41</v>
      </c>
    </row>
    <row r="15" customFormat="false" ht="15" hidden="false" customHeight="false" outlineLevel="0" collapsed="false">
      <c r="B15" s="0" t="s">
        <v>33</v>
      </c>
      <c r="C15" s="11" t="n">
        <v>576</v>
      </c>
      <c r="D15" s="11" t="n">
        <v>288</v>
      </c>
      <c r="E15" s="13" t="s">
        <v>41</v>
      </c>
    </row>
    <row r="16" customFormat="false" ht="15" hidden="false" customHeight="false" outlineLevel="0" collapsed="false">
      <c r="B16" s="0" t="s">
        <v>34</v>
      </c>
      <c r="C16" s="11" t="n">
        <v>540</v>
      </c>
      <c r="D16" s="11" t="n">
        <v>540</v>
      </c>
      <c r="E16" s="13" t="s">
        <v>44</v>
      </c>
    </row>
    <row r="17" customFormat="false" ht="15" hidden="false" customHeight="false" outlineLevel="0" collapsed="false">
      <c r="B17" s="0" t="s">
        <v>35</v>
      </c>
      <c r="C17" s="11" t="n">
        <v>504</v>
      </c>
      <c r="D17" s="11" t="n">
        <v>151</v>
      </c>
      <c r="E17" s="13" t="s">
        <v>42</v>
      </c>
    </row>
    <row r="19" customFormat="false" ht="15" hidden="false" customHeight="false" outlineLevel="0" collapsed="false">
      <c r="B19" s="14" t="s">
        <v>45</v>
      </c>
      <c r="C19" s="15" t="n">
        <f aca="false">SUM(C6:C17)</f>
        <v>8225</v>
      </c>
      <c r="D19" s="15" t="n">
        <f aca="false">SUM(D6:D17)</f>
        <v>3910</v>
      </c>
    </row>
    <row r="20" customFormat="false" ht="15" hidden="false" customHeight="false" outlineLevel="0" collapsed="false">
      <c r="B20" s="14" t="s">
        <v>46</v>
      </c>
      <c r="D20" s="16" t="n">
        <f aca="false">(D19-C19)/C19</f>
        <v>-0.524620060790274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42"/>
  </cols>
  <sheetData>
    <row r="2" customFormat="false" ht="17.35" hidden="false" customHeight="false" outlineLevel="0" collapsed="false">
      <c r="B2" s="8" t="s">
        <v>47</v>
      </c>
    </row>
    <row r="3" customFormat="false" ht="15" hidden="false" customHeight="false" outlineLevel="0" collapsed="false">
      <c r="B3" s="9" t="s">
        <v>48</v>
      </c>
    </row>
    <row r="5" customFormat="false" ht="15" hidden="false" customHeight="false" outlineLevel="0" collapsed="false">
      <c r="B5" s="10" t="s">
        <v>40</v>
      </c>
      <c r="C5" s="10" t="s">
        <v>49</v>
      </c>
      <c r="D5" s="10" t="s">
        <v>50</v>
      </c>
      <c r="E5" s="10" t="s">
        <v>51</v>
      </c>
    </row>
    <row r="6" customFormat="false" ht="15" hidden="false" customHeight="false" outlineLevel="0" collapsed="false">
      <c r="B6" s="13" t="s">
        <v>52</v>
      </c>
      <c r="C6" s="13" t="n">
        <v>7</v>
      </c>
      <c r="D6" s="12" t="n">
        <f aca="false">C6/SUM($C$6:$C$9)</f>
        <v>0.35</v>
      </c>
      <c r="E6" s="0" t="s">
        <v>53</v>
      </c>
    </row>
    <row r="7" customFormat="false" ht="15" hidden="false" customHeight="false" outlineLevel="0" collapsed="false">
      <c r="B7" s="13" t="s">
        <v>54</v>
      </c>
      <c r="C7" s="13" t="n">
        <v>9</v>
      </c>
      <c r="D7" s="12" t="n">
        <f aca="false">C7/SUM($C$6:$C$9)</f>
        <v>0.45</v>
      </c>
      <c r="E7" s="0" t="s">
        <v>55</v>
      </c>
    </row>
    <row r="8" customFormat="false" ht="15" hidden="false" customHeight="false" outlineLevel="0" collapsed="false">
      <c r="B8" s="13" t="s">
        <v>56</v>
      </c>
      <c r="C8" s="13" t="n">
        <v>2</v>
      </c>
      <c r="D8" s="12" t="n">
        <f aca="false">C8/SUM($C$6:$C$9)</f>
        <v>0.1</v>
      </c>
      <c r="E8" s="0" t="s">
        <v>57</v>
      </c>
    </row>
    <row r="9" customFormat="false" ht="15" hidden="false" customHeight="false" outlineLevel="0" collapsed="false">
      <c r="B9" s="13" t="s">
        <v>58</v>
      </c>
      <c r="C9" s="13" t="n">
        <v>2</v>
      </c>
      <c r="D9" s="12" t="n">
        <f aca="false">C9/SUM($C$6:$C$9)</f>
        <v>0.1</v>
      </c>
      <c r="E9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5" min="4" style="0" width="14"/>
  </cols>
  <sheetData>
    <row r="2" customFormat="false" ht="17.35" hidden="false" customHeight="false" outlineLevel="0" collapsed="false">
      <c r="B2" s="8" t="s">
        <v>60</v>
      </c>
    </row>
    <row r="3" customFormat="false" ht="15" hidden="false" customHeight="false" outlineLevel="0" collapsed="false">
      <c r="B3" s="9" t="s">
        <v>61</v>
      </c>
    </row>
    <row r="5" customFormat="false" ht="15" hidden="false" customHeight="false" outlineLevel="0" collapsed="false">
      <c r="B5" s="10" t="s">
        <v>62</v>
      </c>
      <c r="C5" s="10" t="s">
        <v>21</v>
      </c>
      <c r="D5" s="10" t="s">
        <v>22</v>
      </c>
      <c r="E5" s="10" t="s">
        <v>23</v>
      </c>
    </row>
    <row r="6" customFormat="false" ht="15" hidden="false" customHeight="false" outlineLevel="0" collapsed="false">
      <c r="B6" s="0" t="s">
        <v>63</v>
      </c>
      <c r="C6" s="11" t="n">
        <v>648</v>
      </c>
      <c r="D6" s="11" t="n">
        <f aca="false">C6</f>
        <v>648</v>
      </c>
      <c r="E6" s="12" t="n">
        <f aca="false">D6/SUM($C$6:$C$10)</f>
        <v>0.371986222732491</v>
      </c>
    </row>
    <row r="7" customFormat="false" ht="15" hidden="false" customHeight="false" outlineLevel="0" collapsed="false">
      <c r="B7" s="0" t="s">
        <v>64</v>
      </c>
      <c r="C7" s="11" t="n">
        <v>630</v>
      </c>
      <c r="D7" s="11" t="n">
        <f aca="false">D6+C7</f>
        <v>1278</v>
      </c>
      <c r="E7" s="12" t="n">
        <f aca="false">D7/SUM($C$6:$C$10)</f>
        <v>0.733639494833525</v>
      </c>
    </row>
    <row r="8" customFormat="false" ht="15" hidden="false" customHeight="false" outlineLevel="0" collapsed="false">
      <c r="B8" s="0" t="s">
        <v>65</v>
      </c>
      <c r="C8" s="11" t="n">
        <v>210</v>
      </c>
      <c r="D8" s="11" t="n">
        <f aca="false">D7+C8</f>
        <v>1488</v>
      </c>
      <c r="E8" s="12" t="n">
        <f aca="false">D8/SUM($C$6:$C$10)</f>
        <v>0.854190585533869</v>
      </c>
    </row>
    <row r="9" customFormat="false" ht="15" hidden="false" customHeight="false" outlineLevel="0" collapsed="false">
      <c r="B9" s="0" t="s">
        <v>66</v>
      </c>
      <c r="C9" s="11" t="n">
        <v>128</v>
      </c>
      <c r="D9" s="11" t="n">
        <f aca="false">D8+C9</f>
        <v>1616</v>
      </c>
      <c r="E9" s="12" t="n">
        <f aca="false">D9/SUM($C$6:$C$10)</f>
        <v>0.927669345579793</v>
      </c>
    </row>
    <row r="10" customFormat="false" ht="15" hidden="false" customHeight="false" outlineLevel="0" collapsed="false">
      <c r="B10" s="0" t="s">
        <v>67</v>
      </c>
      <c r="C10" s="11" t="n">
        <v>126</v>
      </c>
      <c r="D10" s="11" t="n">
        <f aca="false">D9+C10</f>
        <v>1742</v>
      </c>
      <c r="E10" s="12" t="n">
        <f aca="false">D10/SUM($C$6:$C$10)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2026-06-02T21:34:32Z</dcterms:created>
  <dc:creator>openpyxl</dc:creator>
  <dc:description/>
  <dc:language>en-US</dc:language>
  <cp:lastModifiedBy/>
  <dcterms:modified xsi:type="dcterms:W3CDTF">2026-06-02T21:34:38Z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